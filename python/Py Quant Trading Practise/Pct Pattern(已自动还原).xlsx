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Download\Quants\python\Py Quant Trading Practise\"/>
    </mc:Choice>
  </mc:AlternateContent>
  <xr:revisionPtr revIDLastSave="0" documentId="13_ncr:1_{8D02292D-1787-4B75-83C1-0AF8EFE3B28D}" xr6:coauthVersionLast="47" xr6:coauthVersionMax="47" xr10:uidLastSave="{00000000-0000-0000-0000-000000000000}"/>
  <bookViews>
    <workbookView xWindow="-108" yWindow="-108" windowWidth="23256" windowHeight="12456" tabRatio="773" activeTab="3" xr2:uid="{B0460CFB-DAA0-4C97-B704-D5C95F6EFBEE}"/>
  </bookViews>
  <sheets>
    <sheet name="buy_signal" sheetId="1" r:id="rId1"/>
    <sheet name="ma stage" sheetId="4" r:id="rId2"/>
    <sheet name="Sheet3" sheetId="10" r:id="rId3"/>
    <sheet name="LH_MV" sheetId="2" r:id="rId4"/>
    <sheet name="mv stage" sheetId="3" r:id="rId5"/>
    <sheet name="trading stage" sheetId="5" r:id="rId6"/>
    <sheet name="Sheet2" sheetId="6" r:id="rId7"/>
    <sheet name="ma category" sheetId="7" r:id="rId8"/>
    <sheet name="mv stage2" sheetId="8" r:id="rId9"/>
    <sheet name="双周期" sheetId="9" r:id="rId10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9" l="1"/>
  <c r="E5" i="9"/>
  <c r="E6" i="9"/>
  <c r="E7" i="9"/>
  <c r="E8" i="9"/>
  <c r="E3" i="9"/>
  <c r="D3" i="9"/>
  <c r="D4" i="9"/>
  <c r="D5" i="9"/>
  <c r="D6" i="9"/>
  <c r="D7" i="9"/>
  <c r="D8" i="9"/>
  <c r="C3" i="9"/>
  <c r="C4" i="9"/>
  <c r="C5" i="9"/>
  <c r="C6" i="9"/>
  <c r="C7" i="9"/>
  <c r="C8" i="9"/>
  <c r="B8" i="9"/>
  <c r="B7" i="9"/>
  <c r="D2" i="9"/>
  <c r="C2" i="9"/>
  <c r="I10" i="4"/>
  <c r="I9" i="4"/>
  <c r="I8" i="4"/>
  <c r="I19" i="4"/>
  <c r="I18" i="4"/>
  <c r="I17" i="4"/>
  <c r="I14" i="4"/>
  <c r="I15" i="4"/>
  <c r="I16" i="4"/>
  <c r="I13" i="4"/>
  <c r="I12" i="4"/>
  <c r="I11" i="4"/>
  <c r="I5" i="4"/>
  <c r="I6" i="4"/>
  <c r="I7" i="4"/>
  <c r="I4" i="4"/>
  <c r="I3" i="4"/>
  <c r="I2" i="4"/>
  <c r="I19" i="3"/>
  <c r="I4" i="3"/>
  <c r="I7" i="3"/>
  <c r="I6" i="3"/>
  <c r="I5" i="3"/>
  <c r="I8" i="3"/>
  <c r="I9" i="3"/>
  <c r="I10" i="3"/>
  <c r="I11" i="3"/>
  <c r="I12" i="3"/>
  <c r="I13" i="3"/>
  <c r="I14" i="3"/>
  <c r="I15" i="3"/>
  <c r="I16" i="3"/>
  <c r="I17" i="3"/>
  <c r="I18" i="3"/>
  <c r="I3" i="3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梦玲</author>
    <author>nuswgg</author>
  </authors>
  <commentList>
    <comment ref="B2" authorId="0" shapeId="0" xr:uid="{F3408D38-E2F5-4CEA-AAF7-FD85A8974401}">
      <text>
        <r>
          <rPr>
            <sz val="9"/>
            <color indexed="81"/>
            <rFont val="宋体"/>
            <charset val="134"/>
          </rPr>
          <t>ma13靠拢</t>
        </r>
      </text>
    </comment>
    <comment ref="C2" authorId="1" shapeId="0" xr:uid="{9F8C3C40-7EEF-4F87-BA85-ED9565BDE802}">
      <text>
        <r>
          <rPr>
            <b/>
            <sz val="9"/>
            <color indexed="81"/>
            <rFont val="宋体"/>
            <family val="3"/>
            <charset val="134"/>
          </rPr>
          <t>nuswgg:</t>
        </r>
        <r>
          <rPr>
            <sz val="9"/>
            <color indexed="81"/>
            <rFont val="宋体"/>
            <family val="3"/>
            <charset val="134"/>
          </rPr>
          <t xml:space="preserve">
多头</t>
        </r>
      </text>
    </comment>
  </commentList>
</comments>
</file>

<file path=xl/sharedStrings.xml><?xml version="1.0" encoding="utf-8"?>
<sst xmlns="http://schemas.openxmlformats.org/spreadsheetml/2006/main" count="350" uniqueCount="190">
  <si>
    <t>mv12_ratio</t>
    <phoneticPr fontId="1" type="noConversion"/>
  </si>
  <si>
    <t>mv23_ratio</t>
    <phoneticPr fontId="1" type="noConversion"/>
  </si>
  <si>
    <t>mv13_ratio</t>
    <phoneticPr fontId="1" type="noConversion"/>
  </si>
  <si>
    <t>&gt;=1</t>
    <phoneticPr fontId="1" type="noConversion"/>
  </si>
  <si>
    <t>&lt;=1</t>
    <phoneticPr fontId="1" type="noConversion"/>
  </si>
  <si>
    <t>&gt;=1.2, &lt;1.5</t>
    <phoneticPr fontId="1" type="noConversion"/>
  </si>
  <si>
    <t>&gt;=1.5</t>
    <phoneticPr fontId="1" type="noConversion"/>
  </si>
  <si>
    <t>&gt;0.85</t>
    <phoneticPr fontId="1" type="noConversion"/>
  </si>
  <si>
    <t>&lt;0.65</t>
    <phoneticPr fontId="1" type="noConversion"/>
  </si>
  <si>
    <t>&lt;1</t>
    <phoneticPr fontId="1" type="noConversion"/>
  </si>
  <si>
    <t>&gt;=1.2</t>
    <phoneticPr fontId="1" type="noConversion"/>
  </si>
  <si>
    <t>&lt;0.85</t>
    <phoneticPr fontId="1" type="noConversion"/>
  </si>
  <si>
    <t>&gt; 1</t>
    <phoneticPr fontId="1" type="noConversion"/>
  </si>
  <si>
    <t>category</t>
    <phoneticPr fontId="1" type="noConversion"/>
  </si>
  <si>
    <t>&gt;=0.65, &lt;0.85</t>
    <phoneticPr fontId="1" type="noConversion"/>
  </si>
  <si>
    <t>&gt;=0.85, &lt; 1</t>
    <phoneticPr fontId="1" type="noConversion"/>
  </si>
  <si>
    <t>&gt;= 1, &lt; 1.2</t>
    <phoneticPr fontId="1" type="noConversion"/>
  </si>
  <si>
    <t>&gt;=1, &lt;1.2</t>
    <phoneticPr fontId="1" type="noConversion"/>
  </si>
  <si>
    <t>[1, 1.2)</t>
  </si>
  <si>
    <t>[1, 1.2)</t>
    <phoneticPr fontId="1" type="noConversion"/>
  </si>
  <si>
    <t>[1.2, 1.5)</t>
    <phoneticPr fontId="1" type="noConversion"/>
  </si>
  <si>
    <t>[1.5, 00)</t>
  </si>
  <si>
    <t>[1.5, 00)</t>
    <phoneticPr fontId="1" type="noConversion"/>
  </si>
  <si>
    <t>[0.85, 00)</t>
  </si>
  <si>
    <t>[1.2, 00)</t>
  </si>
  <si>
    <t>[0, 0.65)</t>
  </si>
  <si>
    <t>[0, 0.65)</t>
    <phoneticPr fontId="1" type="noConversion"/>
  </si>
  <si>
    <t>[0, 0.85)</t>
  </si>
  <si>
    <t>[0.85, 1)</t>
    <phoneticPr fontId="1" type="noConversion"/>
  </si>
  <si>
    <t>[0.65, 0.885)</t>
    <phoneticPr fontId="1" type="noConversion"/>
  </si>
  <si>
    <t>[ 1, &lt; 1.2)</t>
    <phoneticPr fontId="1" type="noConversion"/>
  </si>
  <si>
    <t>[0, 1)</t>
    <phoneticPr fontId="1" type="noConversion"/>
  </si>
  <si>
    <t>[1, 00)</t>
    <phoneticPr fontId="1" type="noConversion"/>
  </si>
  <si>
    <t>[0.65, 0.85)</t>
    <phoneticPr fontId="1" type="noConversion"/>
  </si>
  <si>
    <t>ma12_ratio</t>
    <phoneticPr fontId="1" type="noConversion"/>
  </si>
  <si>
    <t>ma23_ratio</t>
    <phoneticPr fontId="1" type="noConversion"/>
  </si>
  <si>
    <t>ma13_ratio</t>
    <phoneticPr fontId="1" type="noConversion"/>
  </si>
  <si>
    <t>普通上涨</t>
    <phoneticPr fontId="1" type="noConversion"/>
  </si>
  <si>
    <t>中度上涨</t>
    <phoneticPr fontId="1" type="noConversion"/>
  </si>
  <si>
    <t>高度上涨</t>
    <phoneticPr fontId="1" type="noConversion"/>
  </si>
  <si>
    <t>ma12_ratio&gt;ma23_ratio</t>
  </si>
  <si>
    <t>ma12_ratio&lt;ma23_ratio</t>
  </si>
  <si>
    <t>中度空头</t>
  </si>
  <si>
    <t>高度空头</t>
  </si>
  <si>
    <t>普通空头放缓</t>
  </si>
  <si>
    <t>中度空头放缓</t>
  </si>
  <si>
    <t>高度空头放缓</t>
  </si>
  <si>
    <t>反弹</t>
    <phoneticPr fontId="1" type="noConversion"/>
  </si>
  <si>
    <t>回调</t>
    <phoneticPr fontId="1" type="noConversion"/>
  </si>
  <si>
    <t>空头反弹</t>
    <phoneticPr fontId="1" type="noConversion"/>
  </si>
  <si>
    <t>震荡反弹</t>
    <phoneticPr fontId="1" type="noConversion"/>
  </si>
  <si>
    <t>中高上涨回调</t>
    <phoneticPr fontId="1" type="noConversion"/>
  </si>
  <si>
    <t>普通上涨回调</t>
    <phoneticPr fontId="1" type="noConversion"/>
  </si>
  <si>
    <t>多转空回调</t>
    <phoneticPr fontId="1" type="noConversion"/>
  </si>
  <si>
    <t>普通上涨放缓</t>
    <phoneticPr fontId="1" type="noConversion"/>
  </si>
  <si>
    <t>中度上涨放缓</t>
    <phoneticPr fontId="1" type="noConversion"/>
  </si>
  <si>
    <t>高度上涨放缓</t>
    <phoneticPr fontId="1" type="noConversion"/>
  </si>
  <si>
    <t>普通空头</t>
    <phoneticPr fontId="1" type="noConversion"/>
  </si>
  <si>
    <t>[0, 181.0],</t>
  </si>
  <si>
    <t xml:space="preserve"> [1, 426.0],</t>
  </si>
  <si>
    <t xml:space="preserve"> [2, 297.0],</t>
  </si>
  <si>
    <t xml:space="preserve"> [3, 232.0],</t>
  </si>
  <si>
    <t xml:space="preserve"> [4, 1176.0],</t>
  </si>
  <si>
    <t xml:space="preserve"> [5, 1038.0],</t>
  </si>
  <si>
    <t xml:space="preserve"> [6, 174.0],</t>
  </si>
  <si>
    <t xml:space="preserve"> [7, 507.0],</t>
  </si>
  <si>
    <t xml:space="preserve"> [8, 281.0],</t>
  </si>
  <si>
    <t xml:space="preserve"> [9, 217.0],</t>
  </si>
  <si>
    <t xml:space="preserve"> [10, 903.0],</t>
  </si>
  <si>
    <t xml:space="preserve"> [11, 1429.0],</t>
  </si>
  <si>
    <t xml:space="preserve"> [12, 128.0],</t>
  </si>
  <si>
    <t xml:space="preserve"> [13, 442.0],</t>
  </si>
  <si>
    <t xml:space="preserve"> [14, 310.0],</t>
  </si>
  <si>
    <t xml:space="preserve"> [15, 103.0],</t>
  </si>
  <si>
    <t xml:space="preserve"> [16, 391.0],</t>
  </si>
  <si>
    <t xml:space="preserve"> [17, 294.0]</t>
  </si>
  <si>
    <t>ma_stage</t>
    <phoneticPr fontId="1" type="noConversion"/>
  </si>
  <si>
    <t>判断多头，空头，调整，反弹，</t>
    <phoneticPr fontId="1" type="noConversion"/>
  </si>
  <si>
    <t>price_pos</t>
    <phoneticPr fontId="1" type="noConversion"/>
  </si>
  <si>
    <t>mv_stage</t>
    <phoneticPr fontId="1" type="noConversion"/>
  </si>
  <si>
    <t>判断阶段量能的情况</t>
    <phoneticPr fontId="1" type="noConversion"/>
  </si>
  <si>
    <t>ma_stage_overall</t>
    <phoneticPr fontId="1" type="noConversion"/>
  </si>
  <si>
    <t>ma567</t>
    <phoneticPr fontId="1" type="noConversion"/>
  </si>
  <si>
    <t>ma345</t>
    <phoneticPr fontId="1" type="noConversion"/>
  </si>
  <si>
    <t>ma123</t>
    <phoneticPr fontId="1" type="noConversion"/>
  </si>
  <si>
    <t>重仓多</t>
    <phoneticPr fontId="1" type="noConversion"/>
  </si>
  <si>
    <t>重仓空</t>
    <phoneticPr fontId="1" type="noConversion"/>
  </si>
  <si>
    <t>轻仓多</t>
    <phoneticPr fontId="1" type="noConversion"/>
  </si>
  <si>
    <t>轻仓空</t>
    <phoneticPr fontId="1" type="noConversion"/>
  </si>
  <si>
    <t>中仓多</t>
    <phoneticPr fontId="1" type="noConversion"/>
  </si>
  <si>
    <t>中仓空</t>
  </si>
  <si>
    <t>震荡</t>
    <phoneticPr fontId="1" type="noConversion"/>
  </si>
  <si>
    <t>vol_pattern</t>
    <phoneticPr fontId="1" type="noConversion"/>
  </si>
  <si>
    <t>判断收盘价位置 是否超买超卖 是否有均线支持</t>
    <phoneticPr fontId="1" type="noConversion"/>
  </si>
  <si>
    <t>回踩ma1</t>
    <phoneticPr fontId="1" type="noConversion"/>
  </si>
  <si>
    <t>反抽ma1</t>
    <phoneticPr fontId="1" type="noConversion"/>
  </si>
  <si>
    <t>超买</t>
    <phoneticPr fontId="1" type="noConversion"/>
  </si>
  <si>
    <t>超卖</t>
    <phoneticPr fontId="1" type="noConversion"/>
  </si>
  <si>
    <t>空转多反弹</t>
    <phoneticPr fontId="1" type="noConversion"/>
  </si>
  <si>
    <t>sn</t>
    <phoneticPr fontId="1" type="noConversion"/>
  </si>
  <si>
    <t>ma12_ratio&lt;=ma23_ratio</t>
    <phoneticPr fontId="1" type="noConversion"/>
  </si>
  <si>
    <t>ma12_ratio&gt;=ma23_ratio</t>
    <phoneticPr fontId="1" type="noConversion"/>
  </si>
  <si>
    <t>普通缩量</t>
  </si>
  <si>
    <t>s</t>
    <phoneticPr fontId="1" type="noConversion"/>
  </si>
  <si>
    <t>m</t>
    <phoneticPr fontId="1" type="noConversion"/>
  </si>
  <si>
    <t>l</t>
    <phoneticPr fontId="1" type="noConversion"/>
  </si>
  <si>
    <t>mv12_ratio&gt;mv23_ratio</t>
  </si>
  <si>
    <t>mv12_ratio&lt;=mv23_ratio</t>
  </si>
  <si>
    <t>mv12_ratio&lt;mv23_ratio</t>
  </si>
  <si>
    <t>mv12_ratio&gt;=mv23_ratio</t>
  </si>
  <si>
    <t>普通放量</t>
  </si>
  <si>
    <t>中度放量</t>
  </si>
  <si>
    <t>高度放量</t>
  </si>
  <si>
    <t>高度放量放缓</t>
  </si>
  <si>
    <t>中度放量放缓</t>
  </si>
  <si>
    <t>普通放量放缓</t>
  </si>
  <si>
    <t>中高放量回调</t>
  </si>
  <si>
    <t>中度缩量</t>
  </si>
  <si>
    <t>高度缩量</t>
  </si>
  <si>
    <t>高度缩量放缓</t>
  </si>
  <si>
    <t>中度缩量放缓</t>
  </si>
  <si>
    <t>普通缩量放缓</t>
  </si>
  <si>
    <t>&gt;=1, &lt;1.001</t>
  </si>
  <si>
    <t>&gt;=1.001</t>
  </si>
  <si>
    <t>&gt;= 1, &lt; 1.001</t>
  </si>
  <si>
    <t>&gt;=1.001, &lt;1.003</t>
  </si>
  <si>
    <t>&gt;=1.003</t>
  </si>
  <si>
    <t>&gt;0.999</t>
  </si>
  <si>
    <t>&lt;0.999</t>
  </si>
  <si>
    <t>&gt;=0.999, &lt; 1</t>
  </si>
  <si>
    <t>&gt;=0.997, &lt;0.999</t>
  </si>
  <si>
    <t>&lt;0.997</t>
  </si>
  <si>
    <t>[0, 0.997)</t>
  </si>
  <si>
    <t>[0.997, 0.885)</t>
  </si>
  <si>
    <t>[0.999, 00)</t>
  </si>
  <si>
    <t>[0.997, 0.999)</t>
  </si>
  <si>
    <t>[0, 0.999)</t>
  </si>
  <si>
    <t>[0.999, 1)</t>
  </si>
  <si>
    <t>[1, 1.001)</t>
  </si>
  <si>
    <t>[1.001, 00)</t>
  </si>
  <si>
    <t>[ 1, &lt; 1.001)</t>
  </si>
  <si>
    <t>[1.001, 1.003)</t>
  </si>
  <si>
    <t>[1.003, 00)</t>
  </si>
  <si>
    <t>放转缩回调</t>
    <phoneticPr fontId="1" type="noConversion"/>
  </si>
  <si>
    <t>普通放量回调</t>
    <phoneticPr fontId="1" type="noConversion"/>
  </si>
  <si>
    <t>中高下跌反弹</t>
    <phoneticPr fontId="1" type="noConversion"/>
  </si>
  <si>
    <t>普通下跌反弹</t>
    <phoneticPr fontId="1" type="noConversion"/>
  </si>
  <si>
    <t>中高缩量反弹</t>
    <phoneticPr fontId="1" type="noConversion"/>
  </si>
  <si>
    <t>普通缩量反弹</t>
    <phoneticPr fontId="1" type="noConversion"/>
  </si>
  <si>
    <t>空头</t>
    <phoneticPr fontId="1" type="noConversion"/>
  </si>
  <si>
    <t>空头震荡</t>
    <phoneticPr fontId="1" type="noConversion"/>
  </si>
  <si>
    <t>空转多</t>
    <phoneticPr fontId="1" type="noConversion"/>
  </si>
  <si>
    <t>多头</t>
    <phoneticPr fontId="1" type="noConversion"/>
  </si>
  <si>
    <t>多头震荡</t>
    <phoneticPr fontId="1" type="noConversion"/>
  </si>
  <si>
    <t>多转空</t>
    <phoneticPr fontId="1" type="noConversion"/>
  </si>
  <si>
    <t>空头下跌</t>
    <phoneticPr fontId="1" type="noConversion"/>
  </si>
  <si>
    <t>空头下跌减缓</t>
    <phoneticPr fontId="1" type="noConversion"/>
  </si>
  <si>
    <t>mslp0&gt;1</t>
    <phoneticPr fontId="1" type="noConversion"/>
  </si>
  <si>
    <t>mslp0&lt;1</t>
    <phoneticPr fontId="1" type="noConversion"/>
  </si>
  <si>
    <t>多头上涨</t>
    <phoneticPr fontId="1" type="noConversion"/>
  </si>
  <si>
    <t>多头上涨减缓</t>
    <phoneticPr fontId="1" type="noConversion"/>
  </si>
  <si>
    <t>df12&lt;df23</t>
    <phoneticPr fontId="1" type="noConversion"/>
  </si>
  <si>
    <t>df12&gt;=df23</t>
    <phoneticPr fontId="1" type="noConversion"/>
  </si>
  <si>
    <t>ma12_ratio&lt;ma23_ratio, ma13_ratio&gt;=1</t>
    <phoneticPr fontId="1" type="noConversion"/>
  </si>
  <si>
    <t>空头的反弹</t>
    <phoneticPr fontId="1" type="noConversion"/>
  </si>
  <si>
    <t>ma12_ratio&lt;ma23_ratio</t>
    <phoneticPr fontId="1" type="noConversion"/>
  </si>
  <si>
    <t>放量</t>
    <phoneticPr fontId="1" type="noConversion"/>
  </si>
  <si>
    <t>mv1</t>
    <phoneticPr fontId="1" type="noConversion"/>
  </si>
  <si>
    <t>mv2</t>
    <phoneticPr fontId="1" type="noConversion"/>
  </si>
  <si>
    <t>mv3</t>
    <phoneticPr fontId="1" type="noConversion"/>
  </si>
  <si>
    <t>v&gt;mv1</t>
    <phoneticPr fontId="1" type="noConversion"/>
  </si>
  <si>
    <t>mv1 &gt; mv2*1.1</t>
    <phoneticPr fontId="1" type="noConversion"/>
  </si>
  <si>
    <t>mv2 &gt; mv3*1.1</t>
    <phoneticPr fontId="1" type="noConversion"/>
  </si>
  <si>
    <t>放巨量</t>
    <phoneticPr fontId="1" type="noConversion"/>
  </si>
  <si>
    <t>&gt;mv1*1.5</t>
    <phoneticPr fontId="1" type="noConversion"/>
  </si>
  <si>
    <t>m5</t>
    <phoneticPr fontId="1" type="noConversion"/>
  </si>
  <si>
    <t>m15</t>
    <phoneticPr fontId="1" type="noConversion"/>
  </si>
  <si>
    <t>m30</t>
    <phoneticPr fontId="1" type="noConversion"/>
  </si>
  <si>
    <t>m60</t>
    <phoneticPr fontId="1" type="noConversion"/>
  </si>
  <si>
    <t>ma_stage_s</t>
    <phoneticPr fontId="1" type="noConversion"/>
  </si>
  <si>
    <t>ma_stage_m</t>
    <phoneticPr fontId="1" type="noConversion"/>
  </si>
  <si>
    <t>kl_ma13_s</t>
    <phoneticPr fontId="1" type="noConversion"/>
  </si>
  <si>
    <t>up</t>
    <phoneticPr fontId="1" type="noConversion"/>
  </si>
  <si>
    <t>ver</t>
    <phoneticPr fontId="1" type="noConversion"/>
  </si>
  <si>
    <t>FL</t>
    <phoneticPr fontId="1" type="noConversion"/>
  </si>
  <si>
    <t>SL</t>
    <phoneticPr fontId="1" type="noConversion"/>
  </si>
  <si>
    <t>CL(常量)</t>
    <phoneticPr fontId="1" type="noConversion"/>
  </si>
  <si>
    <t>[0.85, 1.15]</t>
    <phoneticPr fontId="1" type="noConversion"/>
  </si>
  <si>
    <t>[1.15,00]</t>
    <phoneticPr fontId="1" type="noConversion"/>
  </si>
  <si>
    <t>[0, 0.85]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</si>
</sst>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00000"/>
      <name val="Courier New"/>
      <family val="3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58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2F61-B97E-4191-A7BF-7C3871A2B7E4}">
  <dimension ref="B1:C2"/>
  <sheetViews>
    <sheetView workbookViewId="0">
      <selection activeCell="F28" sqref="F28"/>
    </sheetView>
  </sheetViews>
  <sheetFormatPr defaultRowHeight="13.8" x14ac:dyDescent="0.25"/>
  <cols>
    <col min="2" max="2" width="9.6640625" customWidth="1"/>
    <col min="3" max="3" width="12.77734375" customWidth="1"/>
  </cols>
  <sheetData>
    <row r="1" spans="2:3" x14ac:dyDescent="0.25">
      <c r="B1" t="s">
        <v>179</v>
      </c>
      <c r="C1" t="s">
        <v>180</v>
      </c>
    </row>
    <row r="2" spans="2:3" x14ac:dyDescent="0.25">
      <c r="B2" t="s">
        <v>181</v>
      </c>
      <c r="C2" t="s">
        <v>182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9465-A32B-4B39-A01D-6C78170DC5B5}">
  <dimension ref="A1:J19"/>
  <sheetViews>
    <sheetView workbookViewId="0">
      <selection activeCell="E22" sqref="E22"/>
    </sheetView>
  </sheetViews>
  <sheetFormatPr defaultRowHeight="13.8" x14ac:dyDescent="0.25"/>
  <cols>
    <col min="1" max="1" width="3.21875" customWidth="1"/>
    <col min="2" max="2" width="6.44140625" customWidth="1"/>
    <col min="3" max="3" width="5.6640625" customWidth="1"/>
    <col min="4" max="4" width="22.6640625" bestFit="1" customWidth="1"/>
    <col min="5" max="5" width="24.44140625" customWidth="1"/>
    <col min="6" max="6" width="19.77734375" customWidth="1"/>
    <col min="7" max="7" width="13.88671875" customWidth="1"/>
    <col min="9" max="9" width="27.44140625" customWidth="1"/>
    <col min="10" max="10" width="14.109375" bestFit="1" customWidth="1"/>
  </cols>
  <sheetData>
    <row r="1" spans="1:10" x14ac:dyDescent="0.25">
      <c r="A1" t="s">
        <v>183</v>
      </c>
      <c r="B1" t="s">
        <v>34</v>
      </c>
      <c r="C1" t="s">
        <v>35</v>
      </c>
      <c r="E1" t="s">
        <v>13</v>
      </c>
      <c r="F1" t="s">
        <v>36</v>
      </c>
    </row>
    <row r="2" spans="1:10" x14ac:dyDescent="0.25">
      <c r="A2">
        <v>1</v>
      </c>
      <c r="B2" t="s">
        <v>3</v>
      </c>
      <c r="C2" t="s">
        <v>3</v>
      </c>
      <c r="D2" t="s">
        <v>40</v>
      </c>
      <c r="E2" t="s">
        <v>37</v>
      </c>
      <c r="F2" t="s">
        <v>122</v>
      </c>
      <c r="G2" t="s">
        <v>138</v>
      </c>
      <c r="H2">
        <v>1</v>
      </c>
      <c r="I2" t="str">
        <f>"[[" &amp;H2&amp;","&amp;""""&amp;E2&amp;""""&amp;"],"</f>
        <v>[[1,"普通上涨"],</v>
      </c>
      <c r="J2" s="1" t="s">
        <v>58</v>
      </c>
    </row>
    <row r="3" spans="1:10" x14ac:dyDescent="0.25">
      <c r="A3">
        <v>1</v>
      </c>
      <c r="B3" t="s">
        <v>3</v>
      </c>
      <c r="C3" t="s">
        <v>3</v>
      </c>
      <c r="D3" t="s">
        <v>40</v>
      </c>
      <c r="E3" t="s">
        <v>38</v>
      </c>
      <c r="F3" t="s">
        <v>125</v>
      </c>
      <c r="G3" t="s">
        <v>141</v>
      </c>
      <c r="H3">
        <v>2</v>
      </c>
      <c r="I3" t="str">
        <f t="shared" ref="I3:I19" si="0">"[" &amp;H3&amp;","&amp;""""&amp;E3&amp;""""&amp;"],"</f>
        <v>[2,"中度上涨"],</v>
      </c>
      <c r="J3" s="1" t="s">
        <v>59</v>
      </c>
    </row>
    <row r="4" spans="1:10" x14ac:dyDescent="0.25">
      <c r="A4">
        <v>1</v>
      </c>
      <c r="B4" t="s">
        <v>3</v>
      </c>
      <c r="C4" t="s">
        <v>3</v>
      </c>
      <c r="D4" t="s">
        <v>40</v>
      </c>
      <c r="E4" t="s">
        <v>39</v>
      </c>
      <c r="F4" t="s">
        <v>126</v>
      </c>
      <c r="G4" t="s">
        <v>142</v>
      </c>
      <c r="H4">
        <v>3</v>
      </c>
      <c r="I4" t="str">
        <f t="shared" si="0"/>
        <v>[3,"高度上涨"],</v>
      </c>
      <c r="J4" s="1" t="s">
        <v>60</v>
      </c>
    </row>
    <row r="5" spans="1:10" x14ac:dyDescent="0.25">
      <c r="A5">
        <v>1</v>
      </c>
      <c r="B5" t="s">
        <v>3</v>
      </c>
      <c r="C5" t="s">
        <v>3</v>
      </c>
      <c r="D5" t="s">
        <v>100</v>
      </c>
      <c r="E5" t="s">
        <v>56</v>
      </c>
      <c r="F5" t="s">
        <v>126</v>
      </c>
      <c r="G5" t="s">
        <v>142</v>
      </c>
      <c r="H5">
        <v>4</v>
      </c>
      <c r="I5" t="str">
        <f>"[" &amp;H5&amp;","&amp;""""&amp;E5&amp;""""&amp;"],"</f>
        <v>[4,"高度上涨放缓"],</v>
      </c>
      <c r="J5" s="1" t="s">
        <v>63</v>
      </c>
    </row>
    <row r="6" spans="1:10" x14ac:dyDescent="0.25">
      <c r="A6">
        <v>1</v>
      </c>
      <c r="B6" t="s">
        <v>3</v>
      </c>
      <c r="C6" t="s">
        <v>3</v>
      </c>
      <c r="D6" t="s">
        <v>100</v>
      </c>
      <c r="E6" t="s">
        <v>55</v>
      </c>
      <c r="F6" t="s">
        <v>125</v>
      </c>
      <c r="G6" t="s">
        <v>141</v>
      </c>
      <c r="H6">
        <v>5</v>
      </c>
      <c r="I6" t="str">
        <f>"[" &amp;H6&amp;","&amp;""""&amp;E6&amp;""""&amp;"],"</f>
        <v>[5,"中度上涨放缓"],</v>
      </c>
      <c r="J6" s="1" t="s">
        <v>62</v>
      </c>
    </row>
    <row r="7" spans="1:10" x14ac:dyDescent="0.25">
      <c r="A7">
        <v>1</v>
      </c>
      <c r="B7" t="s">
        <v>3</v>
      </c>
      <c r="C7" t="s">
        <v>3</v>
      </c>
      <c r="D7" t="s">
        <v>100</v>
      </c>
      <c r="E7" t="s">
        <v>54</v>
      </c>
      <c r="F7" t="s">
        <v>122</v>
      </c>
      <c r="G7" t="s">
        <v>138</v>
      </c>
      <c r="H7">
        <v>6</v>
      </c>
      <c r="I7" t="str">
        <f t="shared" si="0"/>
        <v>[6,"普通上涨放缓"],</v>
      </c>
      <c r="J7" s="1" t="s">
        <v>61</v>
      </c>
    </row>
    <row r="8" spans="1:10" x14ac:dyDescent="0.25">
      <c r="A8">
        <v>1</v>
      </c>
      <c r="B8" t="s">
        <v>4</v>
      </c>
      <c r="C8" t="s">
        <v>3</v>
      </c>
      <c r="D8" t="s">
        <v>48</v>
      </c>
      <c r="E8" t="s">
        <v>51</v>
      </c>
      <c r="F8" t="s">
        <v>123</v>
      </c>
      <c r="G8" t="s">
        <v>139</v>
      </c>
      <c r="H8">
        <v>7</v>
      </c>
      <c r="I8" t="str">
        <f>"[" &amp;H8&amp;","&amp;""""&amp;E8&amp;""""&amp;"],"</f>
        <v>[7,"中高上涨回调"],</v>
      </c>
      <c r="J8" s="1" t="s">
        <v>73</v>
      </c>
    </row>
    <row r="9" spans="1:10" x14ac:dyDescent="0.25">
      <c r="A9">
        <v>1</v>
      </c>
      <c r="B9" t="s">
        <v>4</v>
      </c>
      <c r="C9" t="s">
        <v>3</v>
      </c>
      <c r="D9" t="s">
        <v>48</v>
      </c>
      <c r="E9" t="s">
        <v>52</v>
      </c>
      <c r="F9" t="s">
        <v>124</v>
      </c>
      <c r="G9" t="s">
        <v>140</v>
      </c>
      <c r="H9">
        <v>8</v>
      </c>
      <c r="I9" t="str">
        <f>"[" &amp;H9&amp;","&amp;""""&amp;E9&amp;""""&amp;"],"</f>
        <v>[8,"普通上涨回调"],</v>
      </c>
      <c r="J9" s="1" t="s">
        <v>74</v>
      </c>
    </row>
    <row r="10" spans="1:10" x14ac:dyDescent="0.25">
      <c r="A10">
        <v>1</v>
      </c>
      <c r="B10" t="s">
        <v>4</v>
      </c>
      <c r="C10" t="s">
        <v>3</v>
      </c>
      <c r="D10" t="s">
        <v>48</v>
      </c>
      <c r="E10" t="s">
        <v>53</v>
      </c>
      <c r="F10" t="s">
        <v>9</v>
      </c>
      <c r="G10" t="s">
        <v>31</v>
      </c>
      <c r="H10">
        <v>9</v>
      </c>
      <c r="I10" t="str">
        <f>"[" &amp;H10&amp;","&amp;""""&amp;E10&amp;""""&amp;"]]"</f>
        <v>[9,"多转空回调"]]</v>
      </c>
      <c r="J10" s="1" t="s">
        <v>75</v>
      </c>
    </row>
    <row r="11" spans="1:10" x14ac:dyDescent="0.25">
      <c r="A11">
        <v>1</v>
      </c>
      <c r="B11" t="s">
        <v>4</v>
      </c>
      <c r="C11" t="s">
        <v>4</v>
      </c>
      <c r="D11" t="s">
        <v>41</v>
      </c>
      <c r="E11" t="s">
        <v>57</v>
      </c>
      <c r="F11" t="s">
        <v>127</v>
      </c>
      <c r="G11" t="s">
        <v>134</v>
      </c>
      <c r="H11">
        <v>10</v>
      </c>
      <c r="I11" t="str">
        <f t="shared" si="0"/>
        <v>[10,"普通空头"],</v>
      </c>
      <c r="J11" s="1" t="s">
        <v>64</v>
      </c>
    </row>
    <row r="12" spans="1:10" x14ac:dyDescent="0.25">
      <c r="A12">
        <v>1</v>
      </c>
      <c r="B12" t="s">
        <v>4</v>
      </c>
      <c r="C12" t="s">
        <v>4</v>
      </c>
      <c r="D12" t="s">
        <v>41</v>
      </c>
      <c r="E12" t="s">
        <v>42</v>
      </c>
      <c r="F12" t="s">
        <v>130</v>
      </c>
      <c r="G12" t="s">
        <v>135</v>
      </c>
      <c r="H12">
        <v>11</v>
      </c>
      <c r="I12" t="str">
        <f t="shared" si="0"/>
        <v>[11,"中度空头"],</v>
      </c>
      <c r="J12" s="1" t="s">
        <v>65</v>
      </c>
    </row>
    <row r="13" spans="1:10" x14ac:dyDescent="0.25">
      <c r="A13">
        <v>1</v>
      </c>
      <c r="B13" t="s">
        <v>4</v>
      </c>
      <c r="C13" t="s">
        <v>4</v>
      </c>
      <c r="D13" t="s">
        <v>41</v>
      </c>
      <c r="E13" t="s">
        <v>43</v>
      </c>
      <c r="F13" t="s">
        <v>131</v>
      </c>
      <c r="G13" t="s">
        <v>132</v>
      </c>
      <c r="H13">
        <v>12</v>
      </c>
      <c r="I13" t="str">
        <f t="shared" si="0"/>
        <v>[12,"高度空头"],</v>
      </c>
      <c r="J13" s="1" t="s">
        <v>66</v>
      </c>
    </row>
    <row r="14" spans="1:10" x14ac:dyDescent="0.25">
      <c r="A14">
        <v>1</v>
      </c>
      <c r="B14" t="s">
        <v>4</v>
      </c>
      <c r="C14" t="s">
        <v>4</v>
      </c>
      <c r="D14" t="s">
        <v>101</v>
      </c>
      <c r="E14" t="s">
        <v>46</v>
      </c>
      <c r="F14" t="s">
        <v>131</v>
      </c>
      <c r="G14" t="s">
        <v>132</v>
      </c>
      <c r="H14">
        <v>13</v>
      </c>
      <c r="I14" t="str">
        <f>"[" &amp;H14&amp;","&amp;""""&amp;E14&amp;""""&amp;"],"</f>
        <v>[13,"高度空头放缓"],</v>
      </c>
      <c r="J14" s="1" t="s">
        <v>69</v>
      </c>
    </row>
    <row r="15" spans="1:10" x14ac:dyDescent="0.25">
      <c r="A15">
        <v>1</v>
      </c>
      <c r="B15" t="s">
        <v>4</v>
      </c>
      <c r="C15" t="s">
        <v>4</v>
      </c>
      <c r="D15" t="s">
        <v>101</v>
      </c>
      <c r="E15" t="s">
        <v>45</v>
      </c>
      <c r="F15" t="s">
        <v>130</v>
      </c>
      <c r="G15" t="s">
        <v>133</v>
      </c>
      <c r="H15">
        <v>14</v>
      </c>
      <c r="I15" t="str">
        <f>"[" &amp;H15&amp;","&amp;""""&amp;E15&amp;""""&amp;"],"</f>
        <v>[14,"中度空头放缓"],</v>
      </c>
      <c r="J15" s="1" t="s">
        <v>68</v>
      </c>
    </row>
    <row r="16" spans="1:10" x14ac:dyDescent="0.25">
      <c r="A16">
        <v>1</v>
      </c>
      <c r="B16" t="s">
        <v>4</v>
      </c>
      <c r="C16" t="s">
        <v>4</v>
      </c>
      <c r="D16" t="s">
        <v>101</v>
      </c>
      <c r="E16" t="s">
        <v>44</v>
      </c>
      <c r="F16" t="s">
        <v>127</v>
      </c>
      <c r="G16" t="s">
        <v>134</v>
      </c>
      <c r="H16">
        <v>15</v>
      </c>
      <c r="I16" t="str">
        <f t="shared" si="0"/>
        <v>[15,"普通空头放缓"],</v>
      </c>
      <c r="J16" s="1" t="s">
        <v>67</v>
      </c>
    </row>
    <row r="17" spans="1:10" x14ac:dyDescent="0.25">
      <c r="A17">
        <v>1</v>
      </c>
      <c r="B17" t="s">
        <v>3</v>
      </c>
      <c r="C17" t="s">
        <v>4</v>
      </c>
      <c r="D17" t="s">
        <v>47</v>
      </c>
      <c r="E17" t="s">
        <v>145</v>
      </c>
      <c r="F17" t="s">
        <v>128</v>
      </c>
      <c r="G17" t="s">
        <v>136</v>
      </c>
      <c r="H17">
        <v>16</v>
      </c>
      <c r="I17" t="str">
        <f t="shared" si="0"/>
        <v>[16,"中高下跌反弹"],</v>
      </c>
      <c r="J17" s="1" t="s">
        <v>70</v>
      </c>
    </row>
    <row r="18" spans="1:10" x14ac:dyDescent="0.25">
      <c r="A18">
        <v>1</v>
      </c>
      <c r="B18" t="s">
        <v>3</v>
      </c>
      <c r="C18" t="s">
        <v>4</v>
      </c>
      <c r="D18" t="s">
        <v>47</v>
      </c>
      <c r="E18" t="s">
        <v>146</v>
      </c>
      <c r="F18" t="s">
        <v>129</v>
      </c>
      <c r="G18" t="s">
        <v>137</v>
      </c>
      <c r="H18">
        <v>17</v>
      </c>
      <c r="I18" t="str">
        <f t="shared" si="0"/>
        <v>[17,"普通下跌反弹"],</v>
      </c>
      <c r="J18" s="1" t="s">
        <v>71</v>
      </c>
    </row>
    <row r="19" spans="1:10" x14ac:dyDescent="0.25">
      <c r="A19">
        <v>1</v>
      </c>
      <c r="B19" t="s">
        <v>3</v>
      </c>
      <c r="C19" t="s">
        <v>4</v>
      </c>
      <c r="D19" t="s">
        <v>47</v>
      </c>
      <c r="E19" t="s">
        <v>98</v>
      </c>
      <c r="F19" t="s">
        <v>12</v>
      </c>
      <c r="G19" t="s">
        <v>32</v>
      </c>
      <c r="H19">
        <v>18</v>
      </c>
      <c r="I19" t="str">
        <f t="shared" si="0"/>
        <v>[18,"空转多反弹"],</v>
      </c>
      <c r="J19" s="1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2237-6FD7-4315-A92C-2F790FACAF58}">
  <dimension ref="A1"/>
  <sheetViews>
    <sheetView workbookViewId="0">
      <selection activeCell="G15" sqref="G15"/>
    </sheetView>
  </sheetViews>
  <sheetFormatPr defaultRowHeight="13.8" x14ac:dyDescent="0.25"/>
  <cols>
    <col min="5" max="5" width="11.77734375" customWidth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B265-5B64-4869-8D9D-3FA57F95146D}">
  <dimension ref="A1:D4"/>
  <sheetViews>
    <sheetView tabSelected="1" workbookViewId="0">
      <selection activeCell="D3" sqref="D3"/>
    </sheetView>
  </sheetViews>
  <sheetFormatPr defaultRowHeight="13.8" x14ac:dyDescent="0.25"/>
  <cols>
    <col min="1" max="1" width="13.88671875" customWidth="1"/>
    <col min="2" max="2" width="12" customWidth="1"/>
    <col min="3" max="3" width="14.21875" customWidth="1"/>
    <col min="4" max="4" width="11.7773437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184</v>
      </c>
      <c r="B2" t="s">
        <v>188</v>
      </c>
      <c r="C2" t="s">
        <v>188</v>
      </c>
      <c r="D2" t="s">
        <v>188</v>
      </c>
    </row>
    <row r="3" spans="1:4" x14ac:dyDescent="0.25">
      <c r="A3" t="s">
        <v>185</v>
      </c>
      <c r="B3" t="s">
        <v>189</v>
      </c>
      <c r="C3" t="s">
        <v>189</v>
      </c>
      <c r="D3" t="s">
        <v>189</v>
      </c>
    </row>
    <row r="4" spans="1:4" x14ac:dyDescent="0.25">
      <c r="A4" t="s">
        <v>186</v>
      </c>
      <c r="B4" t="s">
        <v>187</v>
      </c>
      <c r="C4" t="s">
        <v>187</v>
      </c>
      <c r="D4" t="s">
        <v>187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9F04-9A9B-4EC8-AEA6-95032E366215}">
  <dimension ref="B1:I23"/>
  <sheetViews>
    <sheetView topLeftCell="A10" workbookViewId="0">
      <selection activeCell="H20" sqref="H20"/>
    </sheetView>
  </sheetViews>
  <sheetFormatPr defaultRowHeight="13.8" x14ac:dyDescent="0.25"/>
  <cols>
    <col min="1" max="1" width="1.88671875" customWidth="1"/>
    <col min="2" max="2" width="6.44140625" customWidth="1"/>
    <col min="3" max="3" width="5.6640625" customWidth="1"/>
    <col min="4" max="4" width="20" customWidth="1"/>
    <col min="5" max="5" width="18.33203125" bestFit="1" customWidth="1"/>
    <col min="6" max="6" width="16.33203125" customWidth="1"/>
    <col min="7" max="7" width="14.44140625" customWidth="1"/>
    <col min="8" max="8" width="5.109375" customWidth="1"/>
    <col min="9" max="9" width="22.21875" bestFit="1" customWidth="1"/>
  </cols>
  <sheetData>
    <row r="1" spans="2:9" x14ac:dyDescent="0.25">
      <c r="B1" t="s">
        <v>0</v>
      </c>
      <c r="C1" t="s">
        <v>1</v>
      </c>
      <c r="E1" t="s">
        <v>13</v>
      </c>
      <c r="F1" t="s">
        <v>2</v>
      </c>
      <c r="H1" t="s">
        <v>99</v>
      </c>
    </row>
    <row r="2" spans="2:9" x14ac:dyDescent="0.25">
      <c r="B2" t="s">
        <v>3</v>
      </c>
      <c r="C2" t="s">
        <v>3</v>
      </c>
      <c r="D2" t="s">
        <v>106</v>
      </c>
      <c r="E2" t="s">
        <v>110</v>
      </c>
      <c r="F2" t="s">
        <v>17</v>
      </c>
      <c r="G2" t="s">
        <v>19</v>
      </c>
      <c r="H2">
        <v>1</v>
      </c>
      <c r="I2" t="str">
        <f>"[[" &amp;H2&amp;","&amp;""""&amp;E2&amp;""""&amp;"],"</f>
        <v>[[1,"普通放量"],</v>
      </c>
    </row>
    <row r="3" spans="2:9" x14ac:dyDescent="0.25">
      <c r="B3" t="s">
        <v>3</v>
      </c>
      <c r="C3" t="s">
        <v>3</v>
      </c>
      <c r="D3" t="s">
        <v>106</v>
      </c>
      <c r="E3" t="s">
        <v>111</v>
      </c>
      <c r="F3" t="s">
        <v>5</v>
      </c>
      <c r="G3" t="s">
        <v>20</v>
      </c>
      <c r="H3">
        <v>2</v>
      </c>
      <c r="I3" t="str">
        <f t="shared" ref="I3:I18" si="0">"[" &amp;H3&amp;","&amp;""""&amp;E3&amp;""""&amp;"],"</f>
        <v>[2,"中度放量"],</v>
      </c>
    </row>
    <row r="4" spans="2:9" x14ac:dyDescent="0.25">
      <c r="B4" t="s">
        <v>3</v>
      </c>
      <c r="C4" t="s">
        <v>3</v>
      </c>
      <c r="D4" t="s">
        <v>106</v>
      </c>
      <c r="E4" t="s">
        <v>112</v>
      </c>
      <c r="F4" t="s">
        <v>6</v>
      </c>
      <c r="G4" t="s">
        <v>22</v>
      </c>
      <c r="H4">
        <v>3</v>
      </c>
      <c r="I4" t="str">
        <f t="shared" si="0"/>
        <v>[3,"高度放量"],</v>
      </c>
    </row>
    <row r="5" spans="2:9" x14ac:dyDescent="0.25">
      <c r="B5" t="s">
        <v>3</v>
      </c>
      <c r="C5" t="s">
        <v>3</v>
      </c>
      <c r="D5" t="s">
        <v>107</v>
      </c>
      <c r="E5" t="s">
        <v>113</v>
      </c>
      <c r="F5" t="s">
        <v>6</v>
      </c>
      <c r="G5" t="s">
        <v>21</v>
      </c>
      <c r="H5">
        <v>6</v>
      </c>
      <c r="I5" t="str">
        <f>"[" &amp;H5&amp;","&amp;""""&amp;E5&amp;""""&amp;"],"</f>
        <v>[6,"高度放量放缓"],</v>
      </c>
    </row>
    <row r="6" spans="2:9" x14ac:dyDescent="0.25">
      <c r="B6" t="s">
        <v>3</v>
      </c>
      <c r="C6" t="s">
        <v>3</v>
      </c>
      <c r="D6" t="s">
        <v>107</v>
      </c>
      <c r="E6" t="s">
        <v>114</v>
      </c>
      <c r="F6" t="s">
        <v>5</v>
      </c>
      <c r="G6" t="s">
        <v>20</v>
      </c>
      <c r="H6">
        <v>5</v>
      </c>
      <c r="I6" t="str">
        <f>"[" &amp;H6&amp;","&amp;""""&amp;E6&amp;""""&amp;"],"</f>
        <v>[5,"中度放量放缓"],</v>
      </c>
    </row>
    <row r="7" spans="2:9" x14ac:dyDescent="0.25">
      <c r="B7" t="s">
        <v>3</v>
      </c>
      <c r="C7" t="s">
        <v>3</v>
      </c>
      <c r="D7" t="s">
        <v>107</v>
      </c>
      <c r="E7" t="s">
        <v>115</v>
      </c>
      <c r="F7" t="s">
        <v>17</v>
      </c>
      <c r="G7" t="s">
        <v>18</v>
      </c>
      <c r="H7">
        <v>4</v>
      </c>
      <c r="I7" t="str">
        <f t="shared" si="0"/>
        <v>[4,"普通放量放缓"],</v>
      </c>
    </row>
    <row r="8" spans="2:9" ht="13.2" customHeight="1" x14ac:dyDescent="0.25">
      <c r="B8" t="s">
        <v>4</v>
      </c>
      <c r="C8" t="s">
        <v>3</v>
      </c>
      <c r="D8" t="s">
        <v>48</v>
      </c>
      <c r="E8" t="s">
        <v>116</v>
      </c>
      <c r="F8" t="s">
        <v>10</v>
      </c>
      <c r="G8" t="s">
        <v>23</v>
      </c>
      <c r="H8">
        <v>7</v>
      </c>
      <c r="I8" t="str">
        <f t="shared" si="0"/>
        <v>[7,"中高放量回调"],</v>
      </c>
    </row>
    <row r="9" spans="2:9" x14ac:dyDescent="0.25">
      <c r="B9" t="s">
        <v>4</v>
      </c>
      <c r="C9" t="s">
        <v>3</v>
      </c>
      <c r="D9" t="s">
        <v>48</v>
      </c>
      <c r="E9" t="s">
        <v>144</v>
      </c>
      <c r="F9" t="s">
        <v>16</v>
      </c>
      <c r="G9" t="s">
        <v>33</v>
      </c>
      <c r="H9">
        <v>8</v>
      </c>
      <c r="I9" t="str">
        <f t="shared" si="0"/>
        <v>[8,"普通放量回调"],</v>
      </c>
    </row>
    <row r="10" spans="2:9" x14ac:dyDescent="0.25">
      <c r="B10" t="s">
        <v>4</v>
      </c>
      <c r="C10" t="s">
        <v>3</v>
      </c>
      <c r="D10" t="s">
        <v>48</v>
      </c>
      <c r="E10" t="s">
        <v>143</v>
      </c>
      <c r="F10" t="s">
        <v>9</v>
      </c>
      <c r="G10" t="s">
        <v>26</v>
      </c>
      <c r="H10">
        <v>9</v>
      </c>
      <c r="I10" t="str">
        <f t="shared" si="0"/>
        <v>[9,"放转缩回调"],</v>
      </c>
    </row>
    <row r="11" spans="2:9" x14ac:dyDescent="0.25">
      <c r="B11" t="s">
        <v>4</v>
      </c>
      <c r="C11" t="s">
        <v>4</v>
      </c>
      <c r="D11" t="s">
        <v>108</v>
      </c>
      <c r="E11" t="s">
        <v>102</v>
      </c>
      <c r="F11" t="s">
        <v>7</v>
      </c>
      <c r="G11" t="s">
        <v>23</v>
      </c>
      <c r="H11">
        <v>10</v>
      </c>
      <c r="I11" t="str">
        <f t="shared" si="0"/>
        <v>[10,"普通缩量"],</v>
      </c>
    </row>
    <row r="12" spans="2:9" x14ac:dyDescent="0.25">
      <c r="B12" t="s">
        <v>4</v>
      </c>
      <c r="C12" t="s">
        <v>4</v>
      </c>
      <c r="D12" t="s">
        <v>108</v>
      </c>
      <c r="E12" t="s">
        <v>117</v>
      </c>
      <c r="F12" t="s">
        <v>14</v>
      </c>
      <c r="G12" t="s">
        <v>29</v>
      </c>
      <c r="H12">
        <v>11</v>
      </c>
      <c r="I12" t="str">
        <f t="shared" si="0"/>
        <v>[11,"中度缩量"],</v>
      </c>
    </row>
    <row r="13" spans="2:9" x14ac:dyDescent="0.25">
      <c r="B13" t="s">
        <v>4</v>
      </c>
      <c r="C13" t="s">
        <v>4</v>
      </c>
      <c r="D13" t="s">
        <v>108</v>
      </c>
      <c r="E13" t="s">
        <v>118</v>
      </c>
      <c r="F13" t="s">
        <v>8</v>
      </c>
      <c r="G13" t="s">
        <v>25</v>
      </c>
      <c r="H13">
        <v>12</v>
      </c>
      <c r="I13" t="str">
        <f t="shared" si="0"/>
        <v>[12,"高度缩量"],</v>
      </c>
    </row>
    <row r="14" spans="2:9" x14ac:dyDescent="0.25">
      <c r="B14" t="s">
        <v>4</v>
      </c>
      <c r="C14" t="s">
        <v>4</v>
      </c>
      <c r="D14" t="s">
        <v>109</v>
      </c>
      <c r="E14" t="s">
        <v>119</v>
      </c>
      <c r="F14" t="s">
        <v>8</v>
      </c>
      <c r="G14" t="s">
        <v>27</v>
      </c>
      <c r="H14">
        <v>13</v>
      </c>
      <c r="I14" t="str">
        <f t="shared" si="0"/>
        <v>[13,"高度缩量放缓"],</v>
      </c>
    </row>
    <row r="15" spans="2:9" x14ac:dyDescent="0.25">
      <c r="B15" t="s">
        <v>4</v>
      </c>
      <c r="C15" t="s">
        <v>4</v>
      </c>
      <c r="D15" t="s">
        <v>109</v>
      </c>
      <c r="E15" t="s">
        <v>120</v>
      </c>
      <c r="F15" t="s">
        <v>14</v>
      </c>
      <c r="G15" t="s">
        <v>28</v>
      </c>
      <c r="H15">
        <v>14</v>
      </c>
      <c r="I15" t="str">
        <f t="shared" si="0"/>
        <v>[14,"中度缩量放缓"],</v>
      </c>
    </row>
    <row r="16" spans="2:9" x14ac:dyDescent="0.25">
      <c r="B16" t="s">
        <v>4</v>
      </c>
      <c r="C16" t="s">
        <v>4</v>
      </c>
      <c r="D16" t="s">
        <v>109</v>
      </c>
      <c r="E16" t="s">
        <v>121</v>
      </c>
      <c r="F16" t="s">
        <v>7</v>
      </c>
      <c r="G16" t="s">
        <v>32</v>
      </c>
      <c r="H16">
        <v>15</v>
      </c>
      <c r="I16" t="str">
        <f t="shared" si="0"/>
        <v>[15,"普通缩量放缓"],</v>
      </c>
    </row>
    <row r="17" spans="2:9" x14ac:dyDescent="0.25">
      <c r="B17" t="s">
        <v>3</v>
      </c>
      <c r="C17" t="s">
        <v>4</v>
      </c>
      <c r="D17" t="s">
        <v>47</v>
      </c>
      <c r="E17" t="s">
        <v>147</v>
      </c>
      <c r="F17" t="s">
        <v>11</v>
      </c>
      <c r="G17" t="s">
        <v>24</v>
      </c>
      <c r="H17">
        <v>16</v>
      </c>
      <c r="I17" t="str">
        <f t="shared" si="0"/>
        <v>[16,"中高缩量反弹"],</v>
      </c>
    </row>
    <row r="18" spans="2:9" x14ac:dyDescent="0.25">
      <c r="B18" t="s">
        <v>3</v>
      </c>
      <c r="C18" t="s">
        <v>4</v>
      </c>
      <c r="D18" t="s">
        <v>47</v>
      </c>
      <c r="E18" t="s">
        <v>148</v>
      </c>
      <c r="F18" t="s">
        <v>15</v>
      </c>
      <c r="G18" t="s">
        <v>30</v>
      </c>
      <c r="H18">
        <v>17</v>
      </c>
      <c r="I18" t="str">
        <f t="shared" si="0"/>
        <v>[17,"普通缩量反弹"],</v>
      </c>
    </row>
    <row r="19" spans="2:9" x14ac:dyDescent="0.25">
      <c r="B19" t="s">
        <v>3</v>
      </c>
      <c r="C19" t="s">
        <v>4</v>
      </c>
      <c r="D19" t="s">
        <v>47</v>
      </c>
      <c r="E19" t="s">
        <v>98</v>
      </c>
      <c r="F19" t="s">
        <v>12</v>
      </c>
      <c r="G19" t="s">
        <v>31</v>
      </c>
      <c r="H19">
        <v>18</v>
      </c>
      <c r="I19" t="str">
        <f>"[" &amp;H19&amp;","&amp;""""&amp;E19&amp;""""&amp;"]]"</f>
        <v>[18,"空转多反弹"]]</v>
      </c>
    </row>
    <row r="21" spans="2:9" x14ac:dyDescent="0.25">
      <c r="E21" t="s">
        <v>167</v>
      </c>
      <c r="F21" t="s">
        <v>168</v>
      </c>
      <c r="G21" t="s">
        <v>169</v>
      </c>
    </row>
    <row r="22" spans="2:9" x14ac:dyDescent="0.25">
      <c r="D22" t="s">
        <v>173</v>
      </c>
      <c r="E22" t="s">
        <v>174</v>
      </c>
    </row>
    <row r="23" spans="2:9" x14ac:dyDescent="0.25">
      <c r="D23" t="s">
        <v>166</v>
      </c>
      <c r="E23" t="s">
        <v>170</v>
      </c>
      <c r="F23" t="s">
        <v>171</v>
      </c>
      <c r="G23" t="s">
        <v>172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8596-343B-43CB-AACA-BD9596242662}">
  <dimension ref="D2:O30"/>
  <sheetViews>
    <sheetView workbookViewId="0">
      <selection activeCell="F23" sqref="F23"/>
    </sheetView>
  </sheetViews>
  <sheetFormatPr defaultRowHeight="13.8" x14ac:dyDescent="0.25"/>
  <cols>
    <col min="4" max="4" width="16.44140625" bestFit="1" customWidth="1"/>
  </cols>
  <sheetData>
    <row r="2" spans="4:15" x14ac:dyDescent="0.25">
      <c r="J2" t="s">
        <v>82</v>
      </c>
      <c r="K2" t="s">
        <v>83</v>
      </c>
      <c r="L2" t="s">
        <v>84</v>
      </c>
    </row>
    <row r="3" spans="4:15" x14ac:dyDescent="0.25">
      <c r="D3" t="s">
        <v>76</v>
      </c>
      <c r="E3" t="s">
        <v>77</v>
      </c>
      <c r="M3" t="s">
        <v>85</v>
      </c>
      <c r="N3" t="s">
        <v>86</v>
      </c>
    </row>
    <row r="4" spans="4:15" x14ac:dyDescent="0.25">
      <c r="D4" t="s">
        <v>81</v>
      </c>
      <c r="M4" t="s">
        <v>89</v>
      </c>
      <c r="N4" t="s">
        <v>90</v>
      </c>
    </row>
    <row r="5" spans="4:15" x14ac:dyDescent="0.25">
      <c r="M5" t="s">
        <v>87</v>
      </c>
      <c r="N5" t="s">
        <v>88</v>
      </c>
      <c r="O5" t="s">
        <v>91</v>
      </c>
    </row>
    <row r="6" spans="4:15" x14ac:dyDescent="0.25">
      <c r="D6" t="s">
        <v>78</v>
      </c>
      <c r="E6" t="s">
        <v>93</v>
      </c>
    </row>
    <row r="7" spans="4:15" x14ac:dyDescent="0.25">
      <c r="D7" t="s">
        <v>79</v>
      </c>
      <c r="E7" t="s">
        <v>80</v>
      </c>
    </row>
    <row r="8" spans="4:15" x14ac:dyDescent="0.25">
      <c r="D8" t="s">
        <v>92</v>
      </c>
    </row>
    <row r="11" spans="4:15" x14ac:dyDescent="0.25">
      <c r="E11" t="s">
        <v>105</v>
      </c>
      <c r="F11" t="s">
        <v>104</v>
      </c>
      <c r="G11" t="s">
        <v>103</v>
      </c>
    </row>
    <row r="13" spans="4:15" x14ac:dyDescent="0.25">
      <c r="D13" t="s">
        <v>94</v>
      </c>
      <c r="E13" t="s">
        <v>37</v>
      </c>
    </row>
    <row r="14" spans="4:15" x14ac:dyDescent="0.25">
      <c r="D14" t="s">
        <v>95</v>
      </c>
      <c r="E14" t="s">
        <v>38</v>
      </c>
    </row>
    <row r="15" spans="4:15" x14ac:dyDescent="0.25">
      <c r="D15" t="s">
        <v>96</v>
      </c>
      <c r="E15" t="s">
        <v>39</v>
      </c>
    </row>
    <row r="16" spans="4:15" x14ac:dyDescent="0.25">
      <c r="D16" t="s">
        <v>97</v>
      </c>
      <c r="E16" t="s">
        <v>54</v>
      </c>
    </row>
    <row r="17" spans="5:5" x14ac:dyDescent="0.25">
      <c r="E17" t="s">
        <v>55</v>
      </c>
    </row>
    <row r="18" spans="5:5" x14ac:dyDescent="0.25">
      <c r="E18" t="s">
        <v>56</v>
      </c>
    </row>
    <row r="19" spans="5:5" x14ac:dyDescent="0.25">
      <c r="E19" t="s">
        <v>57</v>
      </c>
    </row>
    <row r="20" spans="5:5" x14ac:dyDescent="0.25">
      <c r="E20" t="s">
        <v>42</v>
      </c>
    </row>
    <row r="21" spans="5:5" x14ac:dyDescent="0.25">
      <c r="E21" t="s">
        <v>43</v>
      </c>
    </row>
    <row r="22" spans="5:5" x14ac:dyDescent="0.25">
      <c r="E22" t="s">
        <v>44</v>
      </c>
    </row>
    <row r="23" spans="5:5" x14ac:dyDescent="0.25">
      <c r="E23" t="s">
        <v>45</v>
      </c>
    </row>
    <row r="24" spans="5:5" x14ac:dyDescent="0.25">
      <c r="E24" t="s">
        <v>46</v>
      </c>
    </row>
    <row r="25" spans="5:5" x14ac:dyDescent="0.25">
      <c r="E25" t="s">
        <v>49</v>
      </c>
    </row>
    <row r="26" spans="5:5" x14ac:dyDescent="0.25">
      <c r="E26" t="s">
        <v>50</v>
      </c>
    </row>
    <row r="27" spans="5:5" x14ac:dyDescent="0.25">
      <c r="E27" t="s">
        <v>98</v>
      </c>
    </row>
    <row r="28" spans="5:5" x14ac:dyDescent="0.25">
      <c r="E28" t="s">
        <v>51</v>
      </c>
    </row>
    <row r="29" spans="5:5" x14ac:dyDescent="0.25">
      <c r="E29" t="s">
        <v>52</v>
      </c>
    </row>
    <row r="30" spans="5:5" x14ac:dyDescent="0.25">
      <c r="E30" t="s">
        <v>53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AA7C-486A-4582-8BB7-6206A58ABBED}">
  <dimension ref="C1:F1"/>
  <sheetViews>
    <sheetView workbookViewId="0">
      <selection activeCell="E5" sqref="E5"/>
    </sheetView>
  </sheetViews>
  <sheetFormatPr defaultRowHeight="13.8" x14ac:dyDescent="0.25"/>
  <sheetData>
    <row r="1" spans="3:6" x14ac:dyDescent="0.25">
      <c r="C1" s="2"/>
      <c r="F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C851-7E46-4A89-B4FA-7E7C2EF5762C}">
  <dimension ref="A2:F17"/>
  <sheetViews>
    <sheetView workbookViewId="0">
      <selection activeCell="D18" sqref="D18"/>
    </sheetView>
  </sheetViews>
  <sheetFormatPr defaultRowHeight="13.8" x14ac:dyDescent="0.25"/>
  <cols>
    <col min="1" max="1" width="6.77734375" customWidth="1"/>
    <col min="2" max="2" width="10.33203125" customWidth="1"/>
    <col min="3" max="3" width="36.5546875" customWidth="1"/>
    <col min="4" max="4" width="18.5546875" customWidth="1"/>
    <col min="5" max="5" width="10.6640625" customWidth="1"/>
  </cols>
  <sheetData>
    <row r="2" spans="1:6" x14ac:dyDescent="0.25">
      <c r="A2">
        <v>1</v>
      </c>
      <c r="B2" t="s">
        <v>149</v>
      </c>
      <c r="C2" t="s">
        <v>40</v>
      </c>
      <c r="D2" t="s">
        <v>149</v>
      </c>
      <c r="E2" t="s">
        <v>157</v>
      </c>
      <c r="F2" t="s">
        <v>164</v>
      </c>
    </row>
    <row r="3" spans="1:6" x14ac:dyDescent="0.25">
      <c r="E3" t="s">
        <v>158</v>
      </c>
      <c r="F3" t="s">
        <v>155</v>
      </c>
    </row>
    <row r="4" spans="1:6" x14ac:dyDescent="0.25">
      <c r="C4" t="s">
        <v>165</v>
      </c>
      <c r="D4" t="s">
        <v>156</v>
      </c>
      <c r="E4" t="s">
        <v>157</v>
      </c>
    </row>
    <row r="5" spans="1:6" x14ac:dyDescent="0.25">
      <c r="E5" t="s">
        <v>158</v>
      </c>
    </row>
    <row r="6" spans="1:6" x14ac:dyDescent="0.25">
      <c r="A6">
        <v>2</v>
      </c>
      <c r="B6" t="s">
        <v>150</v>
      </c>
      <c r="C6" t="s">
        <v>163</v>
      </c>
      <c r="E6" t="s">
        <v>157</v>
      </c>
    </row>
    <row r="7" spans="1:6" x14ac:dyDescent="0.25">
      <c r="E7" t="s">
        <v>158</v>
      </c>
    </row>
    <row r="8" spans="1:6" x14ac:dyDescent="0.25">
      <c r="A8">
        <v>3</v>
      </c>
      <c r="B8" t="s">
        <v>151</v>
      </c>
    </row>
    <row r="10" spans="1:6" x14ac:dyDescent="0.25">
      <c r="A10">
        <v>4</v>
      </c>
      <c r="B10" t="s">
        <v>152</v>
      </c>
      <c r="C10" t="s">
        <v>162</v>
      </c>
      <c r="D10" t="s">
        <v>159</v>
      </c>
      <c r="E10" t="s">
        <v>157</v>
      </c>
    </row>
    <row r="11" spans="1:6" x14ac:dyDescent="0.25">
      <c r="E11" t="s">
        <v>158</v>
      </c>
    </row>
    <row r="12" spans="1:6" x14ac:dyDescent="0.25">
      <c r="C12" t="s">
        <v>161</v>
      </c>
      <c r="D12" t="s">
        <v>160</v>
      </c>
      <c r="E12" t="s">
        <v>157</v>
      </c>
    </row>
    <row r="13" spans="1:6" x14ac:dyDescent="0.25">
      <c r="E13" t="s">
        <v>158</v>
      </c>
    </row>
    <row r="14" spans="1:6" x14ac:dyDescent="0.25">
      <c r="A14">
        <v>6</v>
      </c>
      <c r="B14" t="s">
        <v>153</v>
      </c>
      <c r="E14" t="s">
        <v>157</v>
      </c>
    </row>
    <row r="15" spans="1:6" x14ac:dyDescent="0.25">
      <c r="E15" t="s">
        <v>158</v>
      </c>
    </row>
    <row r="16" spans="1:6" x14ac:dyDescent="0.25">
      <c r="A16">
        <v>6</v>
      </c>
      <c r="B16" t="s">
        <v>154</v>
      </c>
      <c r="E16" t="s">
        <v>157</v>
      </c>
    </row>
    <row r="17" spans="5:5" x14ac:dyDescent="0.25">
      <c r="E17" t="s">
        <v>158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5E7C-7C93-4659-9234-2DC47E7D15EB}">
  <dimension ref="A1"/>
  <sheetViews>
    <sheetView workbookViewId="0">
      <selection activeCell="B3" sqref="B3"/>
    </sheetView>
  </sheetViews>
  <sheetFormatPr defaultRowHeight="13.8" x14ac:dyDescent="0.25"/>
  <cols>
    <col min="2" max="2" width="8.6640625" customWidth="1"/>
  </cols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5D75-A53B-49C0-A677-BDD2E12B0C06}">
  <dimension ref="A1:E8"/>
  <sheetViews>
    <sheetView workbookViewId="0">
      <selection activeCell="G17" sqref="G17"/>
    </sheetView>
  </sheetViews>
  <sheetFormatPr defaultRowHeight="13.8" x14ac:dyDescent="0.25"/>
  <sheetData>
    <row r="1" spans="1:5" x14ac:dyDescent="0.25">
      <c r="B1" t="s">
        <v>175</v>
      </c>
      <c r="C1" t="s">
        <v>176</v>
      </c>
      <c r="D1" t="s">
        <v>177</v>
      </c>
      <c r="E1" t="s">
        <v>178</v>
      </c>
    </row>
    <row r="2" spans="1:5" x14ac:dyDescent="0.25">
      <c r="A2">
        <v>1</v>
      </c>
      <c r="B2" s="2">
        <v>6</v>
      </c>
      <c r="C2">
        <f>B2/3</f>
        <v>2</v>
      </c>
      <c r="D2">
        <f>B2/6</f>
        <v>1</v>
      </c>
    </row>
    <row r="3" spans="1:5" x14ac:dyDescent="0.25">
      <c r="A3">
        <v>2</v>
      </c>
      <c r="B3" s="2">
        <v>12</v>
      </c>
      <c r="C3">
        <f t="shared" ref="C3:C8" si="0">B3/3</f>
        <v>4</v>
      </c>
      <c r="D3">
        <f t="shared" ref="D3:D8" si="1">B3/6</f>
        <v>2</v>
      </c>
      <c r="E3">
        <f t="shared" ref="E3:E8" si="2">B3/12</f>
        <v>1</v>
      </c>
    </row>
    <row r="4" spans="1:5" x14ac:dyDescent="0.25">
      <c r="A4">
        <v>3</v>
      </c>
      <c r="B4" s="2">
        <v>24</v>
      </c>
      <c r="C4" s="2">
        <f t="shared" si="0"/>
        <v>8</v>
      </c>
      <c r="D4">
        <f t="shared" si="1"/>
        <v>4</v>
      </c>
      <c r="E4">
        <f t="shared" si="2"/>
        <v>2</v>
      </c>
    </row>
    <row r="5" spans="1:5" x14ac:dyDescent="0.25">
      <c r="A5">
        <v>4</v>
      </c>
      <c r="B5">
        <v>48</v>
      </c>
      <c r="C5" s="2">
        <f t="shared" si="0"/>
        <v>16</v>
      </c>
      <c r="D5" s="2">
        <f t="shared" si="1"/>
        <v>8</v>
      </c>
      <c r="E5">
        <f t="shared" si="2"/>
        <v>4</v>
      </c>
    </row>
    <row r="6" spans="1:5" x14ac:dyDescent="0.25">
      <c r="A6">
        <v>5</v>
      </c>
      <c r="B6">
        <v>96</v>
      </c>
      <c r="C6" s="2">
        <f t="shared" si="0"/>
        <v>32</v>
      </c>
      <c r="D6" s="2">
        <f t="shared" si="1"/>
        <v>16</v>
      </c>
      <c r="E6" s="2">
        <f t="shared" si="2"/>
        <v>8</v>
      </c>
    </row>
    <row r="7" spans="1:5" x14ac:dyDescent="0.25">
      <c r="A7">
        <v>6</v>
      </c>
      <c r="B7">
        <f>B6*2</f>
        <v>192</v>
      </c>
      <c r="C7">
        <f t="shared" si="0"/>
        <v>64</v>
      </c>
      <c r="D7" s="2">
        <f t="shared" si="1"/>
        <v>32</v>
      </c>
      <c r="E7" s="2">
        <f t="shared" si="2"/>
        <v>16</v>
      </c>
    </row>
    <row r="8" spans="1:5" x14ac:dyDescent="0.25">
      <c r="A8">
        <v>7</v>
      </c>
      <c r="B8">
        <f>B7*2</f>
        <v>384</v>
      </c>
      <c r="C8">
        <f t="shared" si="0"/>
        <v>128</v>
      </c>
      <c r="D8" s="4">
        <f t="shared" si="1"/>
        <v>64</v>
      </c>
      <c r="E8" s="2">
        <f t="shared" si="2"/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buy_signal</vt:lpstr>
      <vt:lpstr>ma stage</vt:lpstr>
      <vt:lpstr>Sheet3</vt:lpstr>
      <vt:lpstr>LH_MV</vt:lpstr>
      <vt:lpstr>mv stage</vt:lpstr>
      <vt:lpstr>trading stage</vt:lpstr>
      <vt:lpstr>Sheet2</vt:lpstr>
      <vt:lpstr>ma category</vt:lpstr>
      <vt:lpstr>mv stage2</vt:lpstr>
      <vt:lpstr>双周期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梦玲</dc:creator>
  <cp:lastModifiedBy>Wang Eric</cp:lastModifiedBy>
  <dcterms:created xsi:type="dcterms:W3CDTF">2023-03-18T12:36:07Z</dcterms:created>
  <dcterms:modified xsi:type="dcterms:W3CDTF">2024-10-05T02:17:15Z</dcterms:modified>
</cp:coreProperties>
</file>